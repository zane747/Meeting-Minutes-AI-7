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riil\Downloads\"/>
    </mc:Choice>
  </mc:AlternateContent>
  <xr:revisionPtr revIDLastSave="0" documentId="13_ncr:1_{1220619A-93EE-4B92-B71C-23E1741C116C}" xr6:coauthVersionLast="47" xr6:coauthVersionMax="47" xr10:uidLastSave="{00000000-0000-0000-0000-000000000000}"/>
  <bookViews>
    <workbookView xWindow="-108" yWindow="-108" windowWidth="23256" windowHeight="12456" xr2:uid="{0EC53424-72DA-409B-BF3B-C0BB20DC4BE0}"/>
  </bookViews>
  <sheets>
    <sheet name="RD" sheetId="1" r:id="rId1"/>
  </sheets>
  <definedNames>
    <definedName name="_xlnm.Print_Area" localSheetId="0">RD!$A$1:$E$51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1" i="1" l="1"/>
  <c r="C26" i="1"/>
  <c r="D41" i="1" l="1"/>
  <c r="D26" i="1"/>
  <c r="C42" i="1" l="1"/>
  <c r="D42" i="1"/>
</calcChain>
</file>

<file path=xl/sharedStrings.xml><?xml version="1.0" encoding="utf-8"?>
<sst xmlns="http://schemas.openxmlformats.org/spreadsheetml/2006/main" count="65" uniqueCount="64">
  <si>
    <t>HRMS-02-001-F12
版本: V1.0</t>
    <phoneticPr fontId="2" type="noConversion"/>
  </si>
  <si>
    <t>1.工作績效/專業能力(60)分</t>
    <phoneticPr fontId="2" type="noConversion"/>
  </si>
  <si>
    <r>
      <t xml:space="preserve">學習狀況檢核結果
</t>
    </r>
    <r>
      <rPr>
        <sz val="12"/>
        <color theme="1"/>
        <rFont val="微軟正黑體"/>
        <family val="2"/>
        <charset val="136"/>
      </rPr>
      <t>極佳(5分); 佳(4分); 尚可(3分); 欠佳(2分); 極差(1分)</t>
    </r>
    <phoneticPr fontId="2" type="noConversion"/>
  </si>
  <si>
    <t>自評評分</t>
    <phoneticPr fontId="2" type="noConversion"/>
  </si>
  <si>
    <t>主管評分</t>
    <phoneticPr fontId="2" type="noConversion"/>
  </si>
  <si>
    <t>1.自我增進/改善計畫(員工自提)(必填)</t>
    <phoneticPr fontId="2" type="noConversion"/>
  </si>
  <si>
    <t>1.1年度重要工作任務或績效改善項目(可結合MD/表二或表三)</t>
    <phoneticPr fontId="2" type="noConversion"/>
  </si>
  <si>
    <t>[通用]獨立完成指定功能開發</t>
    <phoneticPr fontId="2" type="noConversion"/>
  </si>
  <si>
    <t>[通用]程式碼品質意識</t>
    <phoneticPr fontId="2" type="noConversion"/>
  </si>
  <si>
    <t>[通用]熟悉 Git 流程</t>
    <phoneticPr fontId="2" type="noConversion"/>
  </si>
  <si>
    <t>[通用]API 串接與除錯</t>
    <phoneticPr fontId="2" type="noConversion"/>
  </si>
  <si>
    <t>[通用]溝通協作能力</t>
    <phoneticPr fontId="2" type="noConversion"/>
  </si>
  <si>
    <t>[通用]定義問題能力</t>
    <phoneticPr fontId="2" type="noConversion"/>
  </si>
  <si>
    <t>[通用]解決問題能力</t>
    <phoneticPr fontId="2" type="noConversion"/>
  </si>
  <si>
    <t>2. 對公司/部門建議或改善(員工自提)(必填)</t>
    <phoneticPr fontId="2" type="noConversion"/>
  </si>
  <si>
    <t>[前端]基本開發能力(HTML、JS、CSS)</t>
    <phoneticPr fontId="2" type="noConversion"/>
  </si>
  <si>
    <t>[後端]了解 MVC 與三層式架構</t>
    <phoneticPr fontId="2" type="noConversion"/>
  </si>
  <si>
    <t>[後端]依規格開發 API</t>
    <phoneticPr fontId="2" type="noConversion"/>
  </si>
  <si>
    <t>績效或能力改善提升計畫(主管提報)</t>
    <phoneticPr fontId="2" type="noConversion"/>
  </si>
  <si>
    <t>1.2共同核心項目(必填項目)(由人資單位制定)</t>
  </si>
  <si>
    <t>對組織的認同度／忠誠度與奉獻度</t>
    <phoneticPr fontId="2" type="noConversion"/>
  </si>
  <si>
    <t>公司政策的配合程度</t>
    <phoneticPr fontId="2" type="noConversion"/>
  </si>
  <si>
    <t>教育訓練課程參與與落實行動方案執行(學習力)</t>
    <phoneticPr fontId="2" type="noConversion"/>
  </si>
  <si>
    <t>分數小計(1)</t>
    <phoneticPr fontId="2" type="noConversion"/>
  </si>
  <si>
    <t>2.行為評鑑項目行為要求(40分)</t>
    <phoneticPr fontId="2" type="noConversion"/>
  </si>
  <si>
    <t>評分</t>
    <phoneticPr fontId="2" type="noConversion"/>
  </si>
  <si>
    <t>行為、態度或人格特質評語</t>
    <phoneticPr fontId="2" type="noConversion"/>
  </si>
  <si>
    <t>2.1 品質意識</t>
    <phoneticPr fontId="2" type="noConversion"/>
  </si>
  <si>
    <t>重視主管或內外客戶的品質要求</t>
    <phoneticPr fontId="2" type="noConversion"/>
  </si>
  <si>
    <t>依照作業標準規範作業</t>
    <phoneticPr fontId="2" type="noConversion"/>
  </si>
  <si>
    <t>注重細節及產出的品質。</t>
    <phoneticPr fontId="2" type="noConversion"/>
  </si>
  <si>
    <t>2.2 積極主動</t>
    <phoneticPr fontId="2" type="noConversion"/>
  </si>
  <si>
    <t>積極完成主管交辦的任務，並主動回報。</t>
    <phoneticPr fontId="2" type="noConversion"/>
  </si>
  <si>
    <t>具備發現問題與優化流程之能力</t>
    <phoneticPr fontId="2" type="noConversion"/>
  </si>
  <si>
    <t>尋求支援時會事先準備並提供資料，而非只是拋出問題</t>
    <phoneticPr fontId="2" type="noConversion"/>
  </si>
  <si>
    <t>2.3 持續改善</t>
    <phoneticPr fontId="2" type="noConversion"/>
  </si>
  <si>
    <t>集思廣益，找出問題，分析原因。</t>
    <phoneticPr fontId="2" type="noConversion"/>
  </si>
  <si>
    <t>主動分享個人的知識與經驗。</t>
    <phoneticPr fontId="2" type="noConversion"/>
  </si>
  <si>
    <t>不為個人利益影響工作推展。</t>
    <phoneticPr fontId="2" type="noConversion"/>
  </si>
  <si>
    <t>2.4 團隊合作</t>
    <phoneticPr fontId="2" type="noConversion"/>
  </si>
  <si>
    <t>能透過團隊合作完成交辦事物</t>
    <phoneticPr fontId="2" type="noConversion"/>
  </si>
  <si>
    <t>主動協助同仁完成任務，和同仁相處融洽</t>
    <phoneticPr fontId="2" type="noConversion"/>
  </si>
  <si>
    <t>2.5 學習成長</t>
    <phoneticPr fontId="2" type="noConversion"/>
  </si>
  <si>
    <t>發揮團隊學習精神</t>
    <phoneticPr fontId="2" type="noConversion"/>
  </si>
  <si>
    <t>能主動規劃並增進專業能力</t>
    <phoneticPr fontId="2" type="noConversion"/>
  </si>
  <si>
    <t>分數計算(2)</t>
    <phoneticPr fontId="2" type="noConversion"/>
  </si>
  <si>
    <t>總分</t>
    <phoneticPr fontId="2" type="noConversion"/>
  </si>
  <si>
    <r>
      <rPr>
        <sz val="12"/>
        <color theme="1"/>
        <rFont val="細明體"/>
        <family val="3"/>
        <charset val="136"/>
      </rPr>
      <t>□</t>
    </r>
    <r>
      <rPr>
        <sz val="12"/>
        <color theme="1"/>
        <rFont val="微軟正黑體"/>
        <family val="2"/>
        <charset val="136"/>
      </rPr>
      <t xml:space="preserve">適任：70分(含)以上
</t>
    </r>
    <r>
      <rPr>
        <sz val="12"/>
        <color theme="1"/>
        <rFont val="新細明體"/>
        <family val="1"/>
        <charset val="136"/>
        <scheme val="minor"/>
      </rPr>
      <t>□</t>
    </r>
    <r>
      <rPr>
        <sz val="12"/>
        <color theme="1"/>
        <rFont val="微軟正黑體"/>
        <family val="2"/>
        <charset val="136"/>
      </rPr>
      <t xml:space="preserve">在給予一個月觀察：60分(含)至70分以下
</t>
    </r>
    <r>
      <rPr>
        <sz val="12"/>
        <color theme="1"/>
        <rFont val="新細明體"/>
        <family val="1"/>
        <charset val="136"/>
        <scheme val="minor"/>
      </rPr>
      <t>□</t>
    </r>
    <r>
      <rPr>
        <sz val="12"/>
        <color theme="1"/>
        <rFont val="微軟正黑體"/>
        <family val="2"/>
        <charset val="136"/>
      </rPr>
      <t xml:space="preserve">不續聘，低於60分
</t>
    </r>
    <r>
      <rPr>
        <sz val="12"/>
        <color theme="1"/>
        <rFont val="新細明體"/>
        <family val="1"/>
        <charset val="136"/>
        <scheme val="minor"/>
      </rPr>
      <t>□</t>
    </r>
    <r>
      <rPr>
        <sz val="12"/>
        <color theme="1"/>
        <rFont val="微軟正黑體"/>
        <family val="2"/>
        <charset val="136"/>
      </rPr>
      <t>其他建議：</t>
    </r>
    <phoneticPr fontId="2" type="noConversion"/>
  </si>
  <si>
    <t>直屬主管評語</t>
  </si>
  <si>
    <t>覆核主管評語</t>
    <phoneticPr fontId="2" type="noConversion"/>
  </si>
  <si>
    <t>(入職前兩個月，若分數低於60分則不續聘。試用期滿的分數則此三個月的平均分數)</t>
    <phoneticPr fontId="2" type="noConversion"/>
  </si>
  <si>
    <t>覆核主管</t>
    <phoneticPr fontId="2" type="noConversion"/>
  </si>
  <si>
    <t>直屬主管</t>
    <phoneticPr fontId="2" type="noConversion"/>
  </si>
  <si>
    <t>人資主管建議</t>
    <phoneticPr fontId="2" type="noConversion"/>
  </si>
  <si>
    <t>考核標準</t>
    <phoneticPr fontId="2" type="noConversion"/>
  </si>
  <si>
    <t>本考核表協助新進人員作適用之評核，各項所佔的分數比例如項目右欄所示。請考核主管與新人做完考核面談後，仔細評估給予適當之評分並填寫評語。考核總分在70分(含)以上者為合格。低於60分則不續聘。</t>
    <phoneticPr fontId="2" type="noConversion"/>
  </si>
  <si>
    <r>
      <t xml:space="preserve">                            新進人員試用期績效考核表              </t>
    </r>
    <r>
      <rPr>
        <sz val="12"/>
        <color theme="1"/>
        <rFont val="微軟正黑體"/>
        <family val="2"/>
        <charset val="136"/>
      </rPr>
      <t xml:space="preserve"> 評核日期：      年    月      日</t>
    </r>
    <phoneticPr fontId="2" type="noConversion"/>
  </si>
  <si>
    <r>
      <t>到職日期：    115   年  03  月  23  日        評核月份：</t>
    </r>
    <r>
      <rPr>
        <sz val="12"/>
        <color rgb="FF000000"/>
        <rFont val="新細明體"/>
        <family val="1"/>
        <charset val="136"/>
      </rPr>
      <t>■第一個月期滿</t>
    </r>
    <r>
      <rPr>
        <sz val="12"/>
        <color rgb="FF000000"/>
        <rFont val="微軟正黑體"/>
        <family val="2"/>
        <charset val="136"/>
      </rPr>
      <t xml:space="preserve">     </t>
    </r>
    <r>
      <rPr>
        <sz val="12"/>
        <color rgb="FF000000"/>
        <rFont val="新細明體"/>
        <family val="1"/>
        <charset val="136"/>
      </rPr>
      <t>□</t>
    </r>
    <r>
      <rPr>
        <sz val="12"/>
        <color rgb="FF000000"/>
        <rFont val="微軟正黑體"/>
        <family val="2"/>
        <charset val="136"/>
      </rPr>
      <t xml:space="preserve">第二個月期滿     </t>
    </r>
    <r>
      <rPr>
        <sz val="12"/>
        <color rgb="FF000000"/>
        <rFont val="新細明體"/>
        <family val="1"/>
        <charset val="136"/>
      </rPr>
      <t>□</t>
    </r>
    <r>
      <rPr>
        <sz val="12"/>
        <color rgb="FF000000"/>
        <rFont val="微軟正黑體"/>
        <family val="2"/>
        <charset val="136"/>
      </rPr>
      <t>第三個月期滿</t>
    </r>
    <phoneticPr fontId="2" type="noConversion"/>
  </si>
  <si>
    <t>姓名：          鄭忠存             出勤狀況：病假/ 0 天   ，   事假/ 0天      特殊功績/事蹟說明：</t>
    <phoneticPr fontId="2" type="noConversion"/>
  </si>
  <si>
    <t>[前端]熟悉基本前端框架 (Vue)</t>
    <phoneticPr fontId="2" type="noConversion"/>
  </si>
  <si>
    <t>[前端]基本 UI/UX 與響應式理解</t>
    <phoneticPr fontId="2" type="noConversion"/>
  </si>
  <si>
    <t>[AI 工具] 熟悉使用 Claude Code</t>
    <phoneticPr fontId="2" type="noConversion"/>
  </si>
  <si>
    <t>[流程] 明確理解規格驅動開發</t>
    <phoneticPr fontId="2" type="noConversion"/>
  </si>
  <si>
    <t>[專案] 熟悉並理解官網的運作(二個月)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</si>
</sst>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新細明體"/>
      <family val="2"/>
      <scheme val="minor"/>
    </font>
    <font>
      <sz val="10"/>
      <color theme="1"/>
      <name val="微軟正黑體"/>
      <family val="2"/>
      <charset val="136"/>
    </font>
    <font>
      <sz val="9"/>
      <name val="新細明體"/>
      <family val="3"/>
      <charset val="136"/>
      <scheme val="minor"/>
    </font>
    <font>
      <sz val="11"/>
      <color theme="1"/>
      <name val="微軟正黑體"/>
      <family val="2"/>
      <charset val="136"/>
    </font>
    <font>
      <b/>
      <sz val="18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b/>
      <sz val="14"/>
      <color theme="1"/>
      <name val="微軟正黑體"/>
      <family val="2"/>
      <charset val="136"/>
    </font>
    <font>
      <sz val="12"/>
      <name val="微軟正黑體"/>
      <family val="2"/>
      <charset val="136"/>
    </font>
    <font>
      <sz val="11"/>
      <color rgb="FF0000FF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b/>
      <sz val="11"/>
      <color theme="1"/>
      <name val="微軟正黑體"/>
      <family val="2"/>
      <charset val="136"/>
    </font>
    <font>
      <b/>
      <sz val="11"/>
      <color rgb="FFFF0000"/>
      <name val="微軟正黑體"/>
      <family val="2"/>
      <charset val="136"/>
    </font>
    <font>
      <sz val="12"/>
      <color theme="1"/>
      <name val="細明體"/>
      <family val="3"/>
      <charset val="136"/>
    </font>
    <font>
      <sz val="12"/>
      <color theme="1"/>
      <name val="微軟正黑體"/>
      <family val="3"/>
      <charset val="136"/>
    </font>
    <font>
      <sz val="12"/>
      <color rgb="FF000000"/>
      <name val="微軟正黑體"/>
      <family val="2"/>
      <charset val="136"/>
    </font>
    <font>
      <sz val="10"/>
      <color rgb="FF000000"/>
      <name val="微軟正黑體"/>
      <family val="2"/>
      <charset val="136"/>
    </font>
    <font>
      <sz val="12"/>
      <color rgb="FF000000"/>
      <name val="新細明體"/>
      <family val="1"/>
      <charset val="136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7" tint="0.79998168889431442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3" fillId="0" borderId="0" xfId="0" applyFont="1" applyAlignment="1">
      <alignment wrapText="1"/>
    </xf>
    <xf numFmtId="0" fontId="7" fillId="3" borderId="5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 wrapText="1"/>
    </xf>
    <xf numFmtId="0" fontId="5" fillId="4" borderId="6" xfId="0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justify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vertical="center" wrapText="1"/>
    </xf>
    <xf numFmtId="0" fontId="8" fillId="0" borderId="5" xfId="0" applyFont="1" applyBorder="1" applyAlignment="1">
      <alignment horizontal="justify" vertical="center" wrapText="1"/>
    </xf>
    <xf numFmtId="0" fontId="9" fillId="0" borderId="0" xfId="0" applyFont="1" applyAlignment="1">
      <alignment wrapText="1"/>
    </xf>
    <xf numFmtId="0" fontId="8" fillId="0" borderId="4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10" fillId="5" borderId="5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1" fillId="6" borderId="4" xfId="0" applyFont="1" applyFill="1" applyBorder="1" applyAlignment="1">
      <alignment horizontal="center" wrapText="1"/>
    </xf>
    <xf numFmtId="0" fontId="12" fillId="6" borderId="5" xfId="0" applyFont="1" applyFill="1" applyBorder="1" applyAlignment="1">
      <alignment horizontal="left" wrapText="1"/>
    </xf>
    <xf numFmtId="0" fontId="11" fillId="6" borderId="5" xfId="0" applyFont="1" applyFill="1" applyBorder="1" applyAlignment="1">
      <alignment vertical="center" wrapText="1"/>
    </xf>
    <xf numFmtId="0" fontId="11" fillId="6" borderId="6" xfId="0" applyFont="1" applyFill="1" applyBorder="1" applyAlignment="1">
      <alignment vertical="center" wrapText="1"/>
    </xf>
    <xf numFmtId="0" fontId="5" fillId="0" borderId="13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center" wrapText="1"/>
    </xf>
    <xf numFmtId="0" fontId="5" fillId="0" borderId="4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5" fillId="0" borderId="5" xfId="0" applyFont="1" applyBorder="1" applyAlignment="1">
      <alignment horizontal="center" vertical="center" wrapText="1"/>
    </xf>
    <xf numFmtId="0" fontId="3" fillId="0" borderId="18" xfId="0" applyFont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0" borderId="24" xfId="0" applyFont="1" applyBorder="1" applyAlignment="1">
      <alignment horizontal="center" vertical="center" wrapText="1"/>
    </xf>
    <xf numFmtId="0" fontId="5" fillId="4" borderId="6" xfId="0" applyFont="1" applyFill="1" applyBorder="1" applyAlignment="1">
      <alignment vertical="center" wrapText="1"/>
    </xf>
    <xf numFmtId="0" fontId="3" fillId="0" borderId="24" xfId="0" applyFont="1" applyBorder="1" applyAlignment="1">
      <alignment vertical="center" wrapText="1"/>
    </xf>
    <xf numFmtId="0" fontId="1" fillId="0" borderId="0" xfId="0" applyFont="1" applyAlignment="1">
      <alignment horizontal="right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5" fillId="2" borderId="4" xfId="0" applyFont="1" applyFill="1" applyBorder="1" applyAlignment="1">
      <alignment horizontal="left" vertical="center" wrapText="1"/>
    </xf>
    <xf numFmtId="0" fontId="5" fillId="2" borderId="5" xfId="0" applyFont="1" applyFill="1" applyBorder="1" applyAlignment="1">
      <alignment horizontal="left" vertical="center" wrapText="1"/>
    </xf>
    <xf numFmtId="0" fontId="5" fillId="2" borderId="6" xfId="0" applyFont="1" applyFill="1" applyBorder="1" applyAlignment="1">
      <alignment horizontal="left" vertical="center" wrapText="1"/>
    </xf>
    <xf numFmtId="0" fontId="15" fillId="2" borderId="4" xfId="0" applyFont="1" applyFill="1" applyBorder="1" applyAlignment="1">
      <alignment horizontal="left"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7" fillId="3" borderId="6" xfId="0" applyFont="1" applyFill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 wrapText="1"/>
    </xf>
    <xf numFmtId="0" fontId="5" fillId="0" borderId="23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16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16" fillId="0" borderId="8" xfId="0" applyFont="1" applyBorder="1" applyAlignment="1">
      <alignment horizontal="center" vertical="center" wrapText="1"/>
    </xf>
    <xf numFmtId="0" fontId="16" fillId="0" borderId="9" xfId="0" applyFont="1" applyBorder="1" applyAlignment="1">
      <alignment horizontal="center" vertical="center" wrapText="1"/>
    </xf>
    <xf numFmtId="0" fontId="10" fillId="5" borderId="4" xfId="0" applyFont="1" applyFill="1" applyBorder="1" applyAlignment="1">
      <alignment horizontal="center" vertical="center" wrapText="1"/>
    </xf>
    <xf numFmtId="0" fontId="10" fillId="5" borderId="5" xfId="0" applyFont="1" applyFill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left" vertical="center" wrapText="1"/>
    </xf>
    <xf numFmtId="0" fontId="9" fillId="0" borderId="8" xfId="0" applyFont="1" applyBorder="1" applyAlignment="1">
      <alignment horizontal="left" vertical="center" wrapText="1"/>
    </xf>
    <xf numFmtId="0" fontId="9" fillId="0" borderId="9" xfId="0" applyFont="1" applyBorder="1" applyAlignment="1">
      <alignment horizontal="left" vertical="center" wrapText="1"/>
    </xf>
    <xf numFmtId="0" fontId="1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0" fontId="5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3" fillId="0" borderId="19" xfId="0" applyFont="1" applyBorder="1" applyAlignment="1">
      <alignment horizontal="left" vertical="center" wrapText="1"/>
    </xf>
    <xf numFmtId="0" fontId="3" fillId="0" borderId="20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16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0A009-DDE6-4A37-A511-6111183DD161}">
  <sheetPr>
    <pageSetUpPr fitToPage="1"/>
  </sheetPr>
  <dimension ref="A1:K55"/>
  <sheetViews>
    <sheetView tabSelected="1" zoomScale="112" zoomScaleNormal="112" workbookViewId="0">
      <selection activeCell="C19" sqref="C19"/>
    </sheetView>
  </sheetViews>
  <sheetFormatPr defaultColWidth="9.125" defaultRowHeight="14.4" x14ac:dyDescent="0.3"/>
  <cols>
    <col min="1" max="1" width="15.375" style="1" customWidth="1"/>
    <col min="2" max="2" width="51.25" style="1" customWidth="1"/>
    <col min="3" max="4" width="12.625" style="24" customWidth="1"/>
    <col min="5" max="5" width="43.375" style="24" customWidth="1"/>
    <col min="6" max="16384" width="9.125" style="1"/>
  </cols>
  <sheetData>
    <row r="1" spans="1:5" ht="27.75" customHeight="1" thickBot="1" x14ac:dyDescent="0.35">
      <c r="A1" s="28" t="s">
        <v>0</v>
      </c>
      <c r="B1" s="28"/>
      <c r="C1" s="28"/>
      <c r="D1" s="28"/>
      <c r="E1" s="28"/>
    </row>
    <row r="2" spans="1:5" ht="21" customHeight="1" x14ac:dyDescent="0.3">
      <c r="A2" s="29" t="s">
        <v>56</v>
      </c>
      <c r="B2" s="30"/>
      <c r="C2" s="30"/>
      <c r="D2" s="30"/>
      <c r="E2" s="31"/>
    </row>
    <row r="3" spans="1:5" ht="18" customHeight="1" x14ac:dyDescent="0.3">
      <c r="A3" s="32" t="s">
        <v>58</v>
      </c>
      <c r="B3" s="33"/>
      <c r="C3" s="33"/>
      <c r="D3" s="33"/>
      <c r="E3" s="34"/>
    </row>
    <row r="4" spans="1:5" ht="18" customHeight="1" x14ac:dyDescent="0.3">
      <c r="A4" s="35" t="s">
        <v>57</v>
      </c>
      <c r="B4" s="33"/>
      <c r="C4" s="33"/>
      <c r="D4" s="33"/>
      <c r="E4" s="34"/>
    </row>
    <row r="5" spans="1:5" ht="37.5" customHeight="1" x14ac:dyDescent="0.3">
      <c r="A5" s="36" t="s">
        <v>1</v>
      </c>
      <c r="B5" s="37"/>
      <c r="C5" s="2"/>
      <c r="D5" s="37" t="s">
        <v>2</v>
      </c>
      <c r="E5" s="38"/>
    </row>
    <row r="6" spans="1:5" ht="19.5" customHeight="1" x14ac:dyDescent="0.3">
      <c r="A6" s="36"/>
      <c r="B6" s="37"/>
      <c r="C6" s="3" t="s">
        <v>3</v>
      </c>
      <c r="D6" s="3" t="s">
        <v>4</v>
      </c>
      <c r="E6" s="4" t="s">
        <v>5</v>
      </c>
    </row>
    <row r="7" spans="1:5" ht="18" customHeight="1" x14ac:dyDescent="0.3">
      <c r="A7" s="41" t="s">
        <v>6</v>
      </c>
      <c r="B7" s="5" t="s">
        <v>7</v>
      </c>
      <c r="C7" s="6"/>
      <c r="D7" s="6"/>
      <c r="E7" s="42"/>
    </row>
    <row r="8" spans="1:5" ht="18" customHeight="1" x14ac:dyDescent="0.3">
      <c r="A8" s="39"/>
      <c r="B8" s="5" t="s">
        <v>8</v>
      </c>
      <c r="C8" s="6"/>
      <c r="D8" s="6"/>
      <c r="E8" s="43"/>
    </row>
    <row r="9" spans="1:5" ht="18" customHeight="1" x14ac:dyDescent="0.3">
      <c r="A9" s="39"/>
      <c r="B9" s="5" t="s">
        <v>9</v>
      </c>
      <c r="C9" s="6"/>
      <c r="D9" s="6"/>
      <c r="E9" s="43"/>
    </row>
    <row r="10" spans="1:5" ht="18" customHeight="1" x14ac:dyDescent="0.3">
      <c r="A10" s="39"/>
      <c r="B10" s="5" t="s">
        <v>10</v>
      </c>
      <c r="C10" s="6"/>
      <c r="D10" s="6"/>
      <c r="E10" s="43"/>
    </row>
    <row r="11" spans="1:5" ht="18" customHeight="1" x14ac:dyDescent="0.3">
      <c r="A11" s="39"/>
      <c r="B11" s="5" t="s">
        <v>11</v>
      </c>
      <c r="C11" s="6"/>
      <c r="D11" s="6"/>
      <c r="E11" s="43"/>
    </row>
    <row r="12" spans="1:5" ht="18" customHeight="1" x14ac:dyDescent="0.3">
      <c r="A12" s="39"/>
      <c r="B12" s="5" t="s">
        <v>12</v>
      </c>
      <c r="C12" s="6"/>
      <c r="D12" s="6"/>
      <c r="E12" s="44"/>
    </row>
    <row r="13" spans="1:5" ht="31.2" x14ac:dyDescent="0.3">
      <c r="A13" s="39"/>
      <c r="B13" s="5" t="s">
        <v>13</v>
      </c>
      <c r="C13" s="6"/>
      <c r="D13" s="6"/>
      <c r="E13" s="26" t="s">
        <v>14</v>
      </c>
    </row>
    <row r="14" spans="1:5" ht="18" customHeight="1" x14ac:dyDescent="0.3">
      <c r="A14" s="39"/>
      <c r="B14" s="5" t="s">
        <v>59</v>
      </c>
      <c r="C14" s="6"/>
      <c r="D14" s="6"/>
      <c r="E14" s="42"/>
    </row>
    <row r="15" spans="1:5" ht="18" customHeight="1" x14ac:dyDescent="0.3">
      <c r="A15" s="39"/>
      <c r="B15" s="5" t="s">
        <v>60</v>
      </c>
      <c r="C15" s="6"/>
      <c r="D15" s="6"/>
      <c r="E15" s="46"/>
    </row>
    <row r="16" spans="1:5" ht="18" customHeight="1" x14ac:dyDescent="0.3">
      <c r="A16" s="39"/>
      <c r="B16" s="5" t="s">
        <v>15</v>
      </c>
      <c r="C16" s="6"/>
      <c r="D16" s="6"/>
      <c r="E16" s="46"/>
    </row>
    <row r="17" spans="1:5" ht="15.6" x14ac:dyDescent="0.3">
      <c r="A17" s="39"/>
      <c r="B17" s="5" t="s">
        <v>16</v>
      </c>
      <c r="C17" s="6"/>
      <c r="D17" s="6"/>
      <c r="E17" s="46"/>
    </row>
    <row r="18" spans="1:5" ht="18" customHeight="1" x14ac:dyDescent="0.3">
      <c r="A18" s="39"/>
      <c r="B18" s="5" t="s">
        <v>17</v>
      </c>
      <c r="C18" s="6"/>
      <c r="D18" s="6"/>
      <c r="E18" s="46"/>
    </row>
    <row r="19" spans="1:5" ht="15.6" x14ac:dyDescent="0.3">
      <c r="A19" s="39"/>
      <c r="B19" s="5" t="s">
        <v>61</v>
      </c>
      <c r="C19" s="6"/>
      <c r="D19" s="6"/>
      <c r="E19" s="46"/>
    </row>
    <row r="20" spans="1:5" ht="15.6" x14ac:dyDescent="0.3">
      <c r="A20" s="39"/>
      <c r="B20" s="5" t="s">
        <v>62</v>
      </c>
      <c r="C20" s="6"/>
      <c r="D20" s="6"/>
      <c r="E20" s="46"/>
    </row>
    <row r="21" spans="1:5" ht="15.6" x14ac:dyDescent="0.3">
      <c r="A21" s="39"/>
      <c r="B21" s="5" t="s">
        <v>63</v>
      </c>
      <c r="C21" s="6"/>
      <c r="D21" s="6"/>
      <c r="E21" s="47"/>
    </row>
    <row r="22" spans="1:5" s="9" customFormat="1" ht="18" customHeight="1" x14ac:dyDescent="0.3">
      <c r="A22" s="39"/>
      <c r="B22" s="5"/>
      <c r="C22" s="6"/>
      <c r="D22" s="6"/>
      <c r="E22" s="7" t="s">
        <v>18</v>
      </c>
    </row>
    <row r="23" spans="1:5" s="9" customFormat="1" ht="37.5" customHeight="1" x14ac:dyDescent="0.3">
      <c r="A23" s="39" t="s">
        <v>19</v>
      </c>
      <c r="B23" s="5" t="s">
        <v>20</v>
      </c>
      <c r="C23" s="6"/>
      <c r="D23" s="6"/>
      <c r="E23" s="45"/>
    </row>
    <row r="24" spans="1:5" s="9" customFormat="1" ht="34.5" customHeight="1" x14ac:dyDescent="0.3">
      <c r="A24" s="39"/>
      <c r="B24" s="5" t="s">
        <v>21</v>
      </c>
      <c r="C24" s="6"/>
      <c r="D24" s="25"/>
      <c r="E24" s="43"/>
    </row>
    <row r="25" spans="1:5" s="9" customFormat="1" ht="33.75" customHeight="1" x14ac:dyDescent="0.3">
      <c r="A25" s="40"/>
      <c r="B25" s="5" t="s">
        <v>22</v>
      </c>
      <c r="C25" s="6"/>
      <c r="D25" s="27"/>
      <c r="E25" s="44"/>
    </row>
    <row r="26" spans="1:5" s="9" customFormat="1" ht="18" customHeight="1" x14ac:dyDescent="0.3">
      <c r="A26" s="10" t="s">
        <v>23</v>
      </c>
      <c r="B26" s="5"/>
      <c r="C26" s="6" t="e">
        <f>(SUM(C7:C25)/COUNT(C7:C25)) / 5 * 60</f>
        <v>#DIV/0!</v>
      </c>
      <c r="D26" s="6" t="e">
        <f>(SUM(D7:D25)/COUNT(D7:D25)) / 5 * 60</f>
        <v>#DIV/0!</v>
      </c>
      <c r="E26" s="11"/>
    </row>
    <row r="27" spans="1:5" s="9" customFormat="1" ht="18" customHeight="1" x14ac:dyDescent="0.3">
      <c r="A27" s="48" t="s">
        <v>24</v>
      </c>
      <c r="B27" s="49"/>
      <c r="C27" s="12" t="s">
        <v>25</v>
      </c>
      <c r="D27" s="12" t="s">
        <v>25</v>
      </c>
      <c r="E27" s="13" t="s">
        <v>26</v>
      </c>
    </row>
    <row r="28" spans="1:5" s="9" customFormat="1" ht="18" customHeight="1" x14ac:dyDescent="0.3">
      <c r="A28" s="50" t="s">
        <v>27</v>
      </c>
      <c r="B28" s="8" t="s">
        <v>28</v>
      </c>
      <c r="C28" s="6"/>
      <c r="D28" s="6"/>
      <c r="E28" s="51"/>
    </row>
    <row r="29" spans="1:5" s="9" customFormat="1" ht="18" customHeight="1" x14ac:dyDescent="0.3">
      <c r="A29" s="50"/>
      <c r="B29" s="8" t="s">
        <v>29</v>
      </c>
      <c r="C29" s="6"/>
      <c r="D29" s="6"/>
      <c r="E29" s="52"/>
    </row>
    <row r="30" spans="1:5" s="9" customFormat="1" ht="18" customHeight="1" x14ac:dyDescent="0.3">
      <c r="A30" s="50"/>
      <c r="B30" s="8" t="s">
        <v>30</v>
      </c>
      <c r="C30" s="6"/>
      <c r="D30" s="6"/>
      <c r="E30" s="52"/>
    </row>
    <row r="31" spans="1:5" ht="21" customHeight="1" x14ac:dyDescent="0.3">
      <c r="A31" s="50" t="s">
        <v>31</v>
      </c>
      <c r="B31" s="8" t="s">
        <v>32</v>
      </c>
      <c r="C31" s="6"/>
      <c r="D31" s="6"/>
      <c r="E31" s="52"/>
    </row>
    <row r="32" spans="1:5" s="9" customFormat="1" ht="18" customHeight="1" x14ac:dyDescent="0.3">
      <c r="A32" s="50"/>
      <c r="B32" s="8" t="s">
        <v>33</v>
      </c>
      <c r="C32" s="6"/>
      <c r="D32" s="6"/>
      <c r="E32" s="52"/>
    </row>
    <row r="33" spans="1:11" s="9" customFormat="1" ht="31.2" x14ac:dyDescent="0.3">
      <c r="A33" s="50"/>
      <c r="B33" s="8" t="s">
        <v>34</v>
      </c>
      <c r="C33" s="6"/>
      <c r="D33" s="6"/>
      <c r="E33" s="52"/>
    </row>
    <row r="34" spans="1:11" s="9" customFormat="1" ht="18" customHeight="1" x14ac:dyDescent="0.3">
      <c r="A34" s="50" t="s">
        <v>35</v>
      </c>
      <c r="B34" s="8" t="s">
        <v>36</v>
      </c>
      <c r="C34" s="6"/>
      <c r="D34" s="6"/>
      <c r="E34" s="52"/>
    </row>
    <row r="35" spans="1:11" s="9" customFormat="1" ht="18" customHeight="1" x14ac:dyDescent="0.3">
      <c r="A35" s="50"/>
      <c r="B35" s="8" t="s">
        <v>37</v>
      </c>
      <c r="C35" s="6"/>
      <c r="D35" s="6"/>
      <c r="E35" s="52"/>
    </row>
    <row r="36" spans="1:11" s="9" customFormat="1" ht="18" customHeight="1" x14ac:dyDescent="0.3">
      <c r="A36" s="50"/>
      <c r="B36" s="8" t="s">
        <v>38</v>
      </c>
      <c r="C36" s="6"/>
      <c r="D36" s="6"/>
      <c r="E36" s="52"/>
    </row>
    <row r="37" spans="1:11" s="9" customFormat="1" ht="32.25" customHeight="1" x14ac:dyDescent="0.3">
      <c r="A37" s="50" t="s">
        <v>39</v>
      </c>
      <c r="B37" s="8" t="s">
        <v>40</v>
      </c>
      <c r="C37" s="6"/>
      <c r="D37" s="6"/>
      <c r="E37" s="52"/>
    </row>
    <row r="38" spans="1:11" s="9" customFormat="1" ht="18" customHeight="1" x14ac:dyDescent="0.3">
      <c r="A38" s="50"/>
      <c r="B38" s="8" t="s">
        <v>41</v>
      </c>
      <c r="C38" s="6"/>
      <c r="D38" s="6"/>
      <c r="E38" s="52"/>
    </row>
    <row r="39" spans="1:11" s="9" customFormat="1" ht="18" customHeight="1" x14ac:dyDescent="0.3">
      <c r="A39" s="50" t="s">
        <v>42</v>
      </c>
      <c r="B39" s="8" t="s">
        <v>43</v>
      </c>
      <c r="C39" s="6"/>
      <c r="D39" s="6"/>
      <c r="E39" s="52"/>
    </row>
    <row r="40" spans="1:11" s="9" customFormat="1" ht="18" customHeight="1" x14ac:dyDescent="0.3">
      <c r="A40" s="50"/>
      <c r="B40" s="8" t="s">
        <v>44</v>
      </c>
      <c r="C40" s="6"/>
      <c r="D40" s="6"/>
      <c r="E40" s="53"/>
    </row>
    <row r="41" spans="1:11" s="9" customFormat="1" ht="18" customHeight="1" x14ac:dyDescent="0.3">
      <c r="A41" s="10" t="s">
        <v>45</v>
      </c>
      <c r="B41" s="8"/>
      <c r="C41" s="6" t="e">
        <f>(SUM(C28:C40)/COUNT(C28:C40)) / 5 * 40</f>
        <v>#DIV/0!</v>
      </c>
      <c r="D41" s="6" t="e">
        <f>(SUM(D28:D40)/COUNT(D28:D40)) / 5 * 40</f>
        <v>#DIV/0!</v>
      </c>
      <c r="E41" s="11"/>
      <c r="J41"/>
    </row>
    <row r="42" spans="1:11" s="9" customFormat="1" ht="18" customHeight="1" x14ac:dyDescent="0.3">
      <c r="A42" s="14" t="s">
        <v>46</v>
      </c>
      <c r="B42" s="15"/>
      <c r="C42" s="16" t="e">
        <f>C26+C41</f>
        <v>#DIV/0!</v>
      </c>
      <c r="D42" s="16" t="e">
        <f>D26+D41</f>
        <v>#DIV/0!</v>
      </c>
      <c r="E42" s="17"/>
    </row>
    <row r="43" spans="1:11" s="9" customFormat="1" ht="18" customHeight="1" x14ac:dyDescent="0.3">
      <c r="A43" s="54" t="s">
        <v>47</v>
      </c>
      <c r="B43" s="55"/>
      <c r="C43" s="18"/>
      <c r="D43" s="60" t="s">
        <v>48</v>
      </c>
      <c r="E43" s="61"/>
    </row>
    <row r="44" spans="1:11" s="9" customFormat="1" ht="18" customHeight="1" x14ac:dyDescent="0.3">
      <c r="A44" s="56"/>
      <c r="B44" s="57"/>
      <c r="D44" s="60"/>
      <c r="E44" s="61"/>
    </row>
    <row r="45" spans="1:11" s="9" customFormat="1" ht="18" customHeight="1" x14ac:dyDescent="0.3">
      <c r="A45" s="56"/>
      <c r="B45" s="57"/>
      <c r="D45" s="60"/>
      <c r="E45" s="61"/>
    </row>
    <row r="46" spans="1:11" ht="18" customHeight="1" x14ac:dyDescent="0.3">
      <c r="A46" s="58"/>
      <c r="B46" s="59"/>
      <c r="C46" s="18"/>
      <c r="D46" s="60" t="s">
        <v>49</v>
      </c>
      <c r="E46" s="61"/>
    </row>
    <row r="47" spans="1:11" ht="18" customHeight="1" x14ac:dyDescent="0.3">
      <c r="A47" s="65" t="s">
        <v>50</v>
      </c>
      <c r="B47" s="66"/>
      <c r="C47" s="19"/>
      <c r="D47" s="60"/>
      <c r="E47" s="61"/>
      <c r="K47"/>
    </row>
    <row r="48" spans="1:11" ht="18" customHeight="1" x14ac:dyDescent="0.3">
      <c r="A48" s="65"/>
      <c r="B48" s="66"/>
      <c r="C48" s="19"/>
      <c r="D48" s="60"/>
      <c r="E48" s="61"/>
      <c r="G48" s="62"/>
      <c r="H48" s="62"/>
    </row>
    <row r="49" spans="1:8" ht="36" customHeight="1" x14ac:dyDescent="0.3">
      <c r="A49" s="20" t="s">
        <v>51</v>
      </c>
      <c r="B49" s="21"/>
      <c r="C49" s="22" t="s">
        <v>52</v>
      </c>
      <c r="D49" s="67"/>
      <c r="E49" s="68"/>
      <c r="G49" s="62"/>
      <c r="H49" s="62"/>
    </row>
    <row r="50" spans="1:8" ht="31.2" x14ac:dyDescent="0.3">
      <c r="A50" s="20" t="s">
        <v>53</v>
      </c>
      <c r="B50" s="69"/>
      <c r="C50" s="69"/>
      <c r="D50" s="69"/>
      <c r="E50" s="70"/>
      <c r="G50" s="62"/>
      <c r="H50" s="62"/>
    </row>
    <row r="51" spans="1:8" ht="35.25" customHeight="1" thickBot="1" x14ac:dyDescent="0.35">
      <c r="A51" s="23" t="s">
        <v>54</v>
      </c>
      <c r="B51" s="63" t="s">
        <v>55</v>
      </c>
      <c r="C51" s="63"/>
      <c r="D51" s="63"/>
      <c r="E51" s="64"/>
    </row>
    <row r="52" spans="1:8" ht="18" customHeight="1" x14ac:dyDescent="0.3"/>
    <row r="53" spans="1:8" ht="26.25" customHeight="1" x14ac:dyDescent="0.3"/>
    <row r="54" spans="1:8" ht="24" customHeight="1" x14ac:dyDescent="0.3"/>
    <row r="55" spans="1:8" ht="48.75" customHeight="1" x14ac:dyDescent="0.3"/>
  </sheetData>
  <mergeCells count="30">
    <mergeCell ref="G49:H49"/>
    <mergeCell ref="D46:E46"/>
    <mergeCell ref="B51:E51"/>
    <mergeCell ref="G50:H50"/>
    <mergeCell ref="A47:B48"/>
    <mergeCell ref="D47:E48"/>
    <mergeCell ref="D49:E49"/>
    <mergeCell ref="B50:E50"/>
    <mergeCell ref="E28:E40"/>
    <mergeCell ref="A43:B46"/>
    <mergeCell ref="D43:E43"/>
    <mergeCell ref="D44:E45"/>
    <mergeCell ref="G48:H48"/>
    <mergeCell ref="A39:A40"/>
    <mergeCell ref="A27:B27"/>
    <mergeCell ref="A28:A30"/>
    <mergeCell ref="A31:A33"/>
    <mergeCell ref="A34:A36"/>
    <mergeCell ref="A37:A38"/>
    <mergeCell ref="A23:A25"/>
    <mergeCell ref="A7:A22"/>
    <mergeCell ref="E7:E12"/>
    <mergeCell ref="E23:E25"/>
    <mergeCell ref="E14:E21"/>
    <mergeCell ref="A1:E1"/>
    <mergeCell ref="A2:E2"/>
    <mergeCell ref="A3:E3"/>
    <mergeCell ref="A4:E4"/>
    <mergeCell ref="A5:B6"/>
    <mergeCell ref="D5:E5"/>
  </mergeCells>
  <phoneticPr fontId="2" type="noConversion"/>
  <printOptions horizontalCentered="1" verticalCentered="1"/>
  <pageMargins left="0.31496062992125984" right="0.31496062992125984" top="0.35433070866141736" bottom="0.35433070866141736" header="0.11811023622047245" footer="0.11811023622047245"/>
  <pageSetup paperSize="9" scale="7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RD</vt:lpstr>
      <vt:lpstr>RD!Print_Area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hanchiao-msi-NB</dc:creator>
  <cp:keywords/>
  <dc:description/>
  <cp:lastModifiedBy>忠存 鄭</cp:lastModifiedBy>
  <cp:revision/>
  <dcterms:created xsi:type="dcterms:W3CDTF">2021-09-23T01:08:02Z</dcterms:created>
  <dcterms:modified xsi:type="dcterms:W3CDTF">2026-03-26T08:20:08Z</dcterms:modified>
  <cp:category/>
  <cp:contentStatus/>
</cp:coreProperties>
</file>